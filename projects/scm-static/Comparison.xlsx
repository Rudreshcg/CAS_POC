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9ecc372ded649f/Desktop/SCM Product/"/>
    </mc:Choice>
  </mc:AlternateContent>
  <xr:revisionPtr revIDLastSave="87" documentId="8_{1C032C20-E24B-42D3-84BB-CD6AA3C51D84}" xr6:coauthVersionLast="47" xr6:coauthVersionMax="47" xr10:uidLastSave="{0A4778DA-618E-47F8-AF87-F5C37898F58A}"/>
  <bookViews>
    <workbookView xWindow="-110" yWindow="-110" windowWidth="23260" windowHeight="14860" xr2:uid="{A11C1FAF-C71B-4587-AF79-7DCB62BDBDE2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28" i="1"/>
  <c r="D34" i="1" s="1"/>
  <c r="F29" i="1"/>
  <c r="F35" i="1" s="1"/>
  <c r="J29" i="1"/>
  <c r="K29" i="1"/>
  <c r="L29" i="1"/>
  <c r="M29" i="1"/>
  <c r="E28" i="1"/>
  <c r="E34" i="1" s="1"/>
  <c r="F28" i="1"/>
  <c r="F34" i="1" s="1"/>
  <c r="G28" i="1"/>
  <c r="G29" i="1" s="1"/>
  <c r="H28" i="1"/>
  <c r="H29" i="1" s="1"/>
  <c r="I28" i="1"/>
  <c r="I29" i="1" s="1"/>
  <c r="J28" i="1"/>
  <c r="J34" i="1" s="1"/>
  <c r="J35" i="1" s="1"/>
  <c r="K28" i="1"/>
  <c r="K34" i="1" s="1"/>
  <c r="K35" i="1" s="1"/>
  <c r="L28" i="1"/>
  <c r="L34" i="1" s="1"/>
  <c r="L35" i="1" s="1"/>
  <c r="M28" i="1"/>
  <c r="M34" i="1" s="1"/>
  <c r="M35" i="1" s="1"/>
  <c r="E29" i="1" l="1"/>
  <c r="E35" i="1"/>
  <c r="D29" i="1"/>
  <c r="D35" i="1" s="1"/>
  <c r="I34" i="1"/>
  <c r="I35" i="1" s="1"/>
  <c r="H34" i="1"/>
  <c r="H35" i="1" s="1"/>
  <c r="G34" i="1"/>
  <c r="G35" i="1" s="1"/>
</calcChain>
</file>

<file path=xl/sharedStrings.xml><?xml version="1.0" encoding="utf-8"?>
<sst xmlns="http://schemas.openxmlformats.org/spreadsheetml/2006/main" count="68" uniqueCount="67">
  <si>
    <t>Payment Terms</t>
  </si>
  <si>
    <t>Landed Price</t>
  </si>
  <si>
    <t>Basic Price</t>
  </si>
  <si>
    <t xml:space="preserve">Supplier </t>
  </si>
  <si>
    <t>Order Date</t>
  </si>
  <si>
    <t>Last Order No</t>
  </si>
  <si>
    <t>On Order Qty</t>
  </si>
  <si>
    <t>Stock Qty On Date</t>
  </si>
  <si>
    <t>Packing Info</t>
  </si>
  <si>
    <t>Delivery Date</t>
  </si>
  <si>
    <t>Indent Quantity</t>
  </si>
  <si>
    <t>Indent Date</t>
  </si>
  <si>
    <t>Indent No</t>
  </si>
  <si>
    <t xml:space="preserve">Raw Material </t>
  </si>
  <si>
    <t>Quotation Comparision</t>
  </si>
  <si>
    <t>CPP</t>
  </si>
  <si>
    <t>LPP</t>
  </si>
  <si>
    <t xml:space="preserve">Saving </t>
  </si>
  <si>
    <t>Final offer</t>
  </si>
  <si>
    <t>Initial Offer</t>
  </si>
  <si>
    <t>Remarks:</t>
  </si>
  <si>
    <t>order  Qty</t>
  </si>
  <si>
    <t>Quote Ref. dt</t>
  </si>
  <si>
    <t>Manfacturer</t>
  </si>
  <si>
    <t>E+F+H</t>
  </si>
  <si>
    <t>Landed Rate/Unit--------(I)</t>
  </si>
  <si>
    <t>Fin. Cost % per day[(H-Credit Terms)*0.036/100]*E-----( H)</t>
  </si>
  <si>
    <t>Delivery Term</t>
  </si>
  <si>
    <t>Credit Term in Day'S--( G)</t>
  </si>
  <si>
    <t>Freight-----------( F)</t>
  </si>
  <si>
    <t>Duty Draw Back</t>
  </si>
  <si>
    <t>D-(B+C)</t>
  </si>
  <si>
    <t>Net of GST/IGST----(E)</t>
  </si>
  <si>
    <t>(A+B+C)</t>
  </si>
  <si>
    <t>Basic+GST+IGST--( D)</t>
  </si>
  <si>
    <t>IGST------(C)</t>
  </si>
  <si>
    <t>GST------(B)</t>
  </si>
  <si>
    <t>Percentage %</t>
  </si>
  <si>
    <t>Price break up</t>
  </si>
  <si>
    <t>Order Qty</t>
  </si>
  <si>
    <t>Total  Saving</t>
  </si>
  <si>
    <t>Total  QTY</t>
  </si>
  <si>
    <t xml:space="preserve">Approved By </t>
  </si>
  <si>
    <t>Evaluated By</t>
  </si>
  <si>
    <t>Proposed  By :</t>
  </si>
  <si>
    <t>Check Points if we are not getting 20% lower than LPP</t>
  </si>
  <si>
    <t>Ordered quantity covers consumption for how many months</t>
  </si>
  <si>
    <t>Are we buying from manufacturer or distributor ? (Can we directly buy cheaper)</t>
  </si>
  <si>
    <t>What is the offer from non approved vendors ( Can we develop alternate vendors)</t>
  </si>
  <si>
    <t>Can we get lower price if we consolidate demand for longer term (e.g. 6 months / 1 year)</t>
  </si>
  <si>
    <t>Is it worthwhile to buy on exw / FOB basis from manufacturer</t>
  </si>
  <si>
    <t>Is there lower specification / recycled / recovered material available in market. Can we buy cheaper material in consultation with R&amp;D/ process engg.</t>
  </si>
  <si>
    <t>Is any consumption reduction project going on which can result in improved yield ?</t>
  </si>
  <si>
    <t>Have we asked for better payment terms?</t>
  </si>
  <si>
    <t>Is there any unused inventory lying in other locations. Can we mobilize it?</t>
  </si>
  <si>
    <t>Basic  in USD</t>
  </si>
  <si>
    <t>Basic  ---(A) INR</t>
  </si>
  <si>
    <t>LY WMA Price</t>
  </si>
  <si>
    <t>Budget Price</t>
  </si>
  <si>
    <t>Budget Vs Offer</t>
  </si>
  <si>
    <t xml:space="preserve">* ICIS CFR SE Asia;USD  1000 to 1050/MT  dt.04.10.2024 </t>
  </si>
  <si>
    <t>Price UPward</t>
  </si>
  <si>
    <t>Total Loss</t>
  </si>
  <si>
    <t>Raw Materials Purchase Comparative Statement.--&lt;Plant Here&gt;</t>
  </si>
  <si>
    <t>Item HS Code</t>
  </si>
  <si>
    <t>Country of Origin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</si>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</sst>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name val="Calibri"/>
      <family val="2"/>
      <scheme val="minor"/>
    </font>
    <font>
      <sz val="10"/>
      <color rgb="FF000000"/>
      <name val="Segoe U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Arial Rounded MT Bold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7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0" fillId="4" borderId="0" xfId="0" applyFill="1"/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0" fillId="0" borderId="1" xfId="0" applyBorder="1" applyAlignment="1">
      <alignment horizontal="center" wrapText="1"/>
    </xf>
    <xf numFmtId="9" fontId="0" fillId="0" borderId="1" xfId="0" quotePrefix="1" applyNumberFormat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2" fontId="1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/>
    <xf numFmtId="0" fontId="9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4" borderId="2" xfId="0" applyFont="1" applyFill="1" applyBorder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8BF19272-2418-4D11-8F0F-933EF7C6D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76C0-CF4D-4ACA-823F-876E2376E6C9}">
  <dimension ref="B2:M66"/>
  <sheetViews>
    <sheetView tabSelected="1" topLeftCell="A6" zoomScale="85" zoomScaleNormal="85" workbookViewId="0">
      <selection activeCell="D35" sqref="D35"/>
    </sheetView>
  </sheetViews>
  <sheetFormatPr defaultRowHeight="12.5" x14ac:dyDescent="0.25"/>
  <cols>
    <col min="1" max="1" width="3.453125" customWidth="1"/>
    <col min="2" max="2" width="27.7265625" customWidth="1"/>
    <col min="3" max="3" width="12.6328125" bestFit="1" customWidth="1"/>
    <col min="4" max="4" width="24.26953125" customWidth="1"/>
    <col min="5" max="5" width="11.36328125" bestFit="1" customWidth="1"/>
    <col min="6" max="6" width="13.26953125" customWidth="1"/>
    <col min="7" max="7" width="14.36328125" style="33" bestFit="1" customWidth="1"/>
    <col min="8" max="8" width="26.90625" customWidth="1"/>
    <col min="9" max="9" width="10.54296875" bestFit="1" customWidth="1"/>
    <col min="10" max="10" width="10.7265625" customWidth="1"/>
    <col min="11" max="11" width="15.08984375" customWidth="1"/>
    <col min="12" max="12" width="17.36328125" customWidth="1"/>
    <col min="13" max="13" width="14.36328125" customWidth="1"/>
  </cols>
  <sheetData>
    <row r="2" spans="2:8" ht="13" x14ac:dyDescent="0.3">
      <c r="B2" s="21" t="s">
        <v>63</v>
      </c>
      <c r="C2" s="22"/>
      <c r="D2" s="22"/>
      <c r="E2" s="22"/>
      <c r="F2" s="22"/>
      <c r="G2" s="22"/>
      <c r="H2" s="23"/>
    </row>
    <row r="3" spans="2:8" x14ac:dyDescent="0.25">
      <c r="B3" s="23"/>
      <c r="C3" s="23"/>
      <c r="D3" s="23"/>
      <c r="E3" s="23"/>
      <c r="F3" s="23"/>
      <c r="G3" s="23"/>
      <c r="H3" s="23"/>
    </row>
    <row r="4" spans="2:8" ht="13" x14ac:dyDescent="0.3">
      <c r="B4" s="67" t="s">
        <v>13</v>
      </c>
      <c r="C4" s="67"/>
      <c r="D4" s="38"/>
      <c r="E4" s="22"/>
      <c r="F4" s="23"/>
      <c r="G4" s="46"/>
      <c r="H4" s="23"/>
    </row>
    <row r="5" spans="2:8" ht="13" x14ac:dyDescent="0.3">
      <c r="B5" s="69" t="s">
        <v>64</v>
      </c>
      <c r="C5" s="69"/>
      <c r="D5" s="39"/>
      <c r="E5" s="25"/>
      <c r="F5" s="23"/>
      <c r="G5" s="23"/>
      <c r="H5" s="23"/>
    </row>
    <row r="6" spans="2:8" ht="16" x14ac:dyDescent="0.45">
      <c r="B6" s="67" t="s">
        <v>12</v>
      </c>
      <c r="C6" s="67"/>
      <c r="D6" s="40"/>
      <c r="E6" s="24"/>
      <c r="F6" s="23"/>
      <c r="G6" s="23"/>
      <c r="H6" s="23"/>
    </row>
    <row r="7" spans="2:8" ht="13" x14ac:dyDescent="0.3">
      <c r="B7" s="67" t="s">
        <v>11</v>
      </c>
      <c r="C7" s="67"/>
      <c r="D7" s="41"/>
      <c r="E7" s="22"/>
      <c r="F7" s="23"/>
      <c r="G7" s="23"/>
      <c r="H7" s="23"/>
    </row>
    <row r="8" spans="2:8" ht="13" x14ac:dyDescent="0.3">
      <c r="B8" s="67" t="s">
        <v>10</v>
      </c>
      <c r="C8" s="67"/>
      <c r="D8" s="42"/>
      <c r="E8" s="22"/>
      <c r="F8" s="23"/>
      <c r="G8" s="23"/>
      <c r="H8" s="23"/>
    </row>
    <row r="9" spans="2:8" ht="13" x14ac:dyDescent="0.3">
      <c r="B9" s="67" t="s">
        <v>9</v>
      </c>
      <c r="C9" s="67"/>
      <c r="D9" s="43"/>
      <c r="E9" s="22"/>
      <c r="F9" s="23"/>
      <c r="G9" s="23"/>
      <c r="H9" s="23"/>
    </row>
    <row r="10" spans="2:8" ht="13" x14ac:dyDescent="0.3">
      <c r="B10" s="67" t="s">
        <v>8</v>
      </c>
      <c r="C10" s="67"/>
      <c r="D10" s="38"/>
      <c r="E10" s="22"/>
      <c r="F10" s="23"/>
      <c r="G10" s="23"/>
      <c r="H10" s="23"/>
    </row>
    <row r="11" spans="2:8" ht="13" x14ac:dyDescent="0.3">
      <c r="B11" s="67" t="s">
        <v>66</v>
      </c>
      <c r="C11" s="67"/>
      <c r="D11" s="39" t="str">
        <f>IFERROR(D25/D24,"")</f>
        <v/>
      </c>
      <c r="E11" s="24"/>
      <c r="F11" s="23"/>
      <c r="G11" s="23"/>
      <c r="H11" s="23"/>
    </row>
    <row r="12" spans="2:8" ht="13" x14ac:dyDescent="0.3">
      <c r="B12" s="68" t="s">
        <v>7</v>
      </c>
      <c r="C12" s="68"/>
      <c r="D12" s="61"/>
      <c r="E12" s="22"/>
      <c r="F12" s="23"/>
      <c r="G12" s="23"/>
      <c r="H12" s="23"/>
    </row>
    <row r="13" spans="2:8" ht="13" x14ac:dyDescent="0.3">
      <c r="B13" s="67" t="s">
        <v>6</v>
      </c>
      <c r="C13" s="67"/>
      <c r="D13" s="38"/>
      <c r="E13" s="22"/>
      <c r="F13" s="23"/>
      <c r="G13" s="23"/>
      <c r="H13" s="23"/>
    </row>
    <row r="14" spans="2:8" x14ac:dyDescent="0.25">
      <c r="B14" s="67"/>
      <c r="C14" s="67"/>
      <c r="D14" s="44"/>
      <c r="E14" s="23"/>
      <c r="F14" s="23"/>
      <c r="G14" s="23"/>
      <c r="H14" s="23"/>
    </row>
    <row r="15" spans="2:8" x14ac:dyDescent="0.25">
      <c r="B15" s="67" t="s">
        <v>5</v>
      </c>
      <c r="C15" s="67"/>
      <c r="D15" s="45"/>
      <c r="E15" s="30"/>
      <c r="F15" s="23"/>
      <c r="G15" s="23"/>
      <c r="H15" s="23"/>
    </row>
    <row r="16" spans="2:8" x14ac:dyDescent="0.25">
      <c r="B16" s="67" t="s">
        <v>4</v>
      </c>
      <c r="C16" s="67"/>
      <c r="D16" s="45"/>
      <c r="E16" s="30"/>
      <c r="F16" s="23"/>
      <c r="G16" s="23"/>
      <c r="H16" s="23"/>
    </row>
    <row r="17" spans="2:13" ht="13" x14ac:dyDescent="0.3">
      <c r="B17" s="67" t="s">
        <v>39</v>
      </c>
      <c r="C17" s="67"/>
      <c r="D17" s="41"/>
      <c r="E17" s="26"/>
      <c r="F17" s="23"/>
      <c r="G17" s="23"/>
      <c r="H17" s="23"/>
    </row>
    <row r="18" spans="2:13" ht="13" x14ac:dyDescent="0.3">
      <c r="B18" s="67" t="s">
        <v>3</v>
      </c>
      <c r="C18" s="67"/>
      <c r="D18" s="38"/>
      <c r="E18" s="22"/>
      <c r="F18" s="23"/>
      <c r="G18" s="23"/>
      <c r="H18" s="23"/>
    </row>
    <row r="19" spans="2:13" ht="13" x14ac:dyDescent="0.3">
      <c r="B19" s="67" t="s">
        <v>2</v>
      </c>
      <c r="C19" s="67"/>
      <c r="D19" s="42"/>
      <c r="E19" s="27"/>
      <c r="F19" s="23"/>
      <c r="G19" s="23"/>
      <c r="H19" s="23"/>
    </row>
    <row r="20" spans="2:13" ht="13" x14ac:dyDescent="0.3">
      <c r="B20" s="67" t="s">
        <v>1</v>
      </c>
      <c r="C20" s="67"/>
      <c r="D20" s="39"/>
      <c r="E20" s="24"/>
      <c r="F20" s="23"/>
      <c r="G20" s="23"/>
      <c r="H20" s="23"/>
    </row>
    <row r="21" spans="2:13" ht="13" x14ac:dyDescent="0.3">
      <c r="B21" s="67" t="s">
        <v>0</v>
      </c>
      <c r="C21" s="67"/>
      <c r="D21" s="43"/>
      <c r="E21" s="28"/>
      <c r="F21" s="23"/>
      <c r="G21" s="23"/>
      <c r="H21" s="23"/>
    </row>
    <row r="22" spans="2:13" ht="31" x14ac:dyDescent="0.7">
      <c r="B22" s="22" t="s">
        <v>14</v>
      </c>
      <c r="C22" s="23"/>
      <c r="D22" s="31"/>
      <c r="E22" s="31"/>
      <c r="F22" s="31"/>
      <c r="G22" s="31"/>
      <c r="H22" s="31"/>
      <c r="I22" s="31"/>
      <c r="J22" s="31"/>
      <c r="K22" s="31"/>
      <c r="L22" s="31"/>
    </row>
    <row r="23" spans="2:13" ht="26" x14ac:dyDescent="0.25">
      <c r="B23" s="47" t="s">
        <v>38</v>
      </c>
      <c r="C23" s="47" t="s">
        <v>37</v>
      </c>
      <c r="D23" s="48"/>
      <c r="E23" s="48"/>
      <c r="F23" s="49"/>
      <c r="G23" s="48"/>
      <c r="H23" s="48"/>
      <c r="I23" s="48"/>
      <c r="J23" s="48"/>
      <c r="K23" s="48"/>
      <c r="L23" s="48"/>
      <c r="M23" s="48"/>
    </row>
    <row r="24" spans="2:13" ht="13" x14ac:dyDescent="0.3">
      <c r="B24" s="11" t="s">
        <v>55</v>
      </c>
      <c r="C24" s="11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 spans="2:13" ht="13" x14ac:dyDescent="0.3">
      <c r="B25" s="2" t="s">
        <v>56</v>
      </c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2:13" ht="13" x14ac:dyDescent="0.3">
      <c r="B26" s="2" t="s">
        <v>36</v>
      </c>
      <c r="C26" s="51">
        <v>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2:13" ht="13" x14ac:dyDescent="0.3">
      <c r="B27" s="2" t="s">
        <v>35</v>
      </c>
      <c r="C27" s="51">
        <v>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2:13" ht="13" x14ac:dyDescent="0.3">
      <c r="B28" s="2" t="s">
        <v>34</v>
      </c>
      <c r="C28" s="4" t="s">
        <v>33</v>
      </c>
      <c r="D28" s="10">
        <f t="shared" ref="D28:M28" si="0">D27+D26+D25</f>
        <v>0</v>
      </c>
      <c r="E28" s="10">
        <f t="shared" si="0"/>
        <v>0</v>
      </c>
      <c r="F28" s="10">
        <f t="shared" si="0"/>
        <v>0</v>
      </c>
      <c r="G28" s="10">
        <f t="shared" si="0"/>
        <v>0</v>
      </c>
      <c r="H28" s="10">
        <f t="shared" si="0"/>
        <v>0</v>
      </c>
      <c r="I28" s="10">
        <f t="shared" si="0"/>
        <v>0</v>
      </c>
      <c r="J28" s="10">
        <f t="shared" si="0"/>
        <v>0</v>
      </c>
      <c r="K28" s="10">
        <f t="shared" si="0"/>
        <v>0</v>
      </c>
      <c r="L28" s="10">
        <f t="shared" si="0"/>
        <v>0</v>
      </c>
      <c r="M28" s="10">
        <f t="shared" si="0"/>
        <v>0</v>
      </c>
    </row>
    <row r="29" spans="2:13" ht="13" x14ac:dyDescent="0.3">
      <c r="B29" s="11" t="s">
        <v>32</v>
      </c>
      <c r="C29" s="4" t="s">
        <v>31</v>
      </c>
      <c r="D29" s="10">
        <f t="shared" ref="D29:M29" si="1">D28-(D26+D27)</f>
        <v>0</v>
      </c>
      <c r="E29" s="10">
        <f t="shared" si="1"/>
        <v>0</v>
      </c>
      <c r="F29" s="10">
        <f t="shared" si="1"/>
        <v>0</v>
      </c>
      <c r="G29" s="10">
        <f t="shared" si="1"/>
        <v>0</v>
      </c>
      <c r="H29" s="10">
        <f t="shared" si="1"/>
        <v>0</v>
      </c>
      <c r="I29" s="10">
        <f t="shared" si="1"/>
        <v>0</v>
      </c>
      <c r="J29" s="10">
        <f t="shared" si="1"/>
        <v>0</v>
      </c>
      <c r="K29" s="10">
        <f t="shared" si="1"/>
        <v>0</v>
      </c>
      <c r="L29" s="10">
        <f t="shared" si="1"/>
        <v>0</v>
      </c>
      <c r="M29" s="10">
        <f t="shared" si="1"/>
        <v>0</v>
      </c>
    </row>
    <row r="30" spans="2:13" ht="13" x14ac:dyDescent="0.3">
      <c r="B30" s="11" t="s">
        <v>30</v>
      </c>
      <c r="C30" s="4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ht="13" x14ac:dyDescent="0.3">
      <c r="B31" s="11" t="s">
        <v>29</v>
      </c>
      <c r="C31" s="4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2:13" ht="13" x14ac:dyDescent="0.3">
      <c r="B32" s="2" t="s">
        <v>28</v>
      </c>
      <c r="C32" s="4">
        <v>90</v>
      </c>
      <c r="D32" s="10">
        <v>90</v>
      </c>
      <c r="E32" s="10"/>
      <c r="F32" s="10"/>
      <c r="G32" s="10"/>
      <c r="H32" s="10"/>
      <c r="I32" s="10"/>
      <c r="J32" s="10"/>
      <c r="K32" s="10"/>
      <c r="L32" s="10"/>
      <c r="M32" s="10"/>
    </row>
    <row r="33" spans="2:13" ht="13" x14ac:dyDescent="0.3">
      <c r="B33" s="11" t="s">
        <v>27</v>
      </c>
      <c r="C33" s="4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2:13" ht="26" x14ac:dyDescent="0.3">
      <c r="B34" s="11" t="s">
        <v>26</v>
      </c>
      <c r="C34" s="4">
        <v>3.5999999999999997E-2</v>
      </c>
      <c r="D34" s="53">
        <f>(($C$32-D32)*$C$34/100)*D28</f>
        <v>0</v>
      </c>
      <c r="E34" s="53">
        <f t="shared" ref="E34:M34" si="2">(($C$32-E32)*$C$34/100)*E28</f>
        <v>0</v>
      </c>
      <c r="F34" s="53">
        <f t="shared" si="2"/>
        <v>0</v>
      </c>
      <c r="G34" s="53">
        <f t="shared" si="2"/>
        <v>0</v>
      </c>
      <c r="H34" s="53">
        <f t="shared" si="2"/>
        <v>0</v>
      </c>
      <c r="I34" s="53">
        <f t="shared" si="2"/>
        <v>0</v>
      </c>
      <c r="J34" s="53">
        <f t="shared" si="2"/>
        <v>0</v>
      </c>
      <c r="K34" s="53">
        <f t="shared" si="2"/>
        <v>0</v>
      </c>
      <c r="L34" s="53">
        <f t="shared" si="2"/>
        <v>0</v>
      </c>
      <c r="M34" s="53">
        <f t="shared" si="2"/>
        <v>0</v>
      </c>
    </row>
    <row r="35" spans="2:13" ht="13" x14ac:dyDescent="0.3">
      <c r="B35" s="11" t="s">
        <v>25</v>
      </c>
      <c r="C35" s="4" t="s">
        <v>24</v>
      </c>
      <c r="D35" s="20">
        <f>D29+D31+D34</f>
        <v>0</v>
      </c>
      <c r="E35" s="20">
        <f t="shared" ref="E35:M35" si="3">E29+E31+E34</f>
        <v>0</v>
      </c>
      <c r="F35" s="20">
        <f t="shared" si="3"/>
        <v>0</v>
      </c>
      <c r="G35" s="20">
        <f t="shared" si="3"/>
        <v>0</v>
      </c>
      <c r="H35" s="20">
        <f t="shared" si="3"/>
        <v>0</v>
      </c>
      <c r="I35" s="20">
        <f t="shared" si="3"/>
        <v>0</v>
      </c>
      <c r="J35" s="20">
        <f t="shared" si="3"/>
        <v>0</v>
      </c>
      <c r="K35" s="20">
        <f t="shared" si="3"/>
        <v>0</v>
      </c>
      <c r="L35" s="20">
        <f t="shared" si="3"/>
        <v>0</v>
      </c>
      <c r="M35" s="20">
        <f t="shared" si="3"/>
        <v>0</v>
      </c>
    </row>
    <row r="36" spans="2:13" ht="13" x14ac:dyDescent="0.3">
      <c r="B36" s="2" t="s">
        <v>23</v>
      </c>
      <c r="C36" s="4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2:13" ht="13" x14ac:dyDescent="0.3">
      <c r="B37" s="2" t="s">
        <v>22</v>
      </c>
      <c r="C37" s="52"/>
      <c r="D37" s="9"/>
      <c r="E37" s="9"/>
      <c r="F37" s="9"/>
      <c r="G37" s="9"/>
      <c r="H37" s="9"/>
      <c r="I37" s="4"/>
      <c r="J37" s="9"/>
      <c r="K37" s="9"/>
      <c r="L37" s="9"/>
      <c r="M37" s="9"/>
    </row>
    <row r="38" spans="2:13" ht="13" x14ac:dyDescent="0.3">
      <c r="B38" s="2" t="s">
        <v>65</v>
      </c>
      <c r="C38" s="4"/>
      <c r="D38" s="4"/>
      <c r="E38" s="50"/>
      <c r="F38" s="50"/>
      <c r="G38" s="4"/>
      <c r="H38" s="4"/>
      <c r="I38" s="4"/>
      <c r="J38" s="50"/>
      <c r="K38" s="50"/>
      <c r="L38" s="4"/>
      <c r="M38" s="4"/>
    </row>
    <row r="39" spans="2:13" ht="13" x14ac:dyDescent="0.3">
      <c r="B39" s="2" t="s">
        <v>21</v>
      </c>
      <c r="C39" s="8"/>
      <c r="D39" s="7"/>
      <c r="E39" s="6"/>
      <c r="F39" s="6"/>
      <c r="G39" s="6"/>
      <c r="H39" s="1"/>
      <c r="I39" s="3"/>
      <c r="J39" s="3"/>
      <c r="K39" s="3"/>
      <c r="L39" s="3"/>
      <c r="M39" s="3"/>
    </row>
    <row r="40" spans="2:13" x14ac:dyDescent="0.25">
      <c r="B40" s="37" t="s">
        <v>20</v>
      </c>
      <c r="C40" s="1"/>
      <c r="D40" s="1"/>
      <c r="E40" s="1"/>
      <c r="F40" s="1"/>
      <c r="G40" s="1"/>
      <c r="H40" s="37"/>
      <c r="I40" s="3"/>
      <c r="J40" s="3"/>
      <c r="K40" s="3"/>
      <c r="L40" s="3"/>
      <c r="M40" s="3"/>
    </row>
    <row r="41" spans="2:13" x14ac:dyDescent="0.25">
      <c r="B41" s="23"/>
      <c r="C41" s="32"/>
      <c r="D41" s="32"/>
      <c r="E41" s="32"/>
      <c r="F41" s="32"/>
      <c r="G41" s="32"/>
      <c r="H41" s="23"/>
    </row>
    <row r="42" spans="2:13" ht="13" x14ac:dyDescent="0.3">
      <c r="B42" s="2" t="s">
        <v>60</v>
      </c>
      <c r="C42" s="37"/>
      <c r="D42" s="54"/>
      <c r="E42" s="1" t="s">
        <v>19</v>
      </c>
      <c r="F42" s="5" t="s">
        <v>18</v>
      </c>
      <c r="G42" s="1" t="s">
        <v>17</v>
      </c>
      <c r="H42" s="1" t="s">
        <v>40</v>
      </c>
      <c r="I42" s="1" t="s">
        <v>41</v>
      </c>
      <c r="K42" s="17" t="s">
        <v>57</v>
      </c>
      <c r="L42" s="18" t="s">
        <v>58</v>
      </c>
      <c r="M42" s="16" t="s">
        <v>59</v>
      </c>
    </row>
    <row r="43" spans="2:13" ht="14.5" x14ac:dyDescent="0.25">
      <c r="B43" s="55"/>
      <c r="C43" s="37"/>
      <c r="D43" s="54"/>
      <c r="E43" s="1"/>
      <c r="F43" s="5"/>
      <c r="G43" s="1"/>
      <c r="H43" s="1"/>
      <c r="I43" s="4"/>
      <c r="K43" s="1"/>
      <c r="L43" s="5"/>
      <c r="M43" s="4"/>
    </row>
    <row r="44" spans="2:13" ht="13" x14ac:dyDescent="0.3">
      <c r="B44" s="22"/>
      <c r="C44" s="23"/>
      <c r="D44" s="34"/>
      <c r="E44" s="32"/>
      <c r="F44" s="35"/>
      <c r="G44" s="32"/>
      <c r="I44" s="33"/>
      <c r="K44" s="4"/>
      <c r="L44" s="19"/>
      <c r="M44" s="4"/>
    </row>
    <row r="45" spans="2:13" ht="13" x14ac:dyDescent="0.3">
      <c r="B45" s="71"/>
      <c r="C45" s="71"/>
      <c r="D45" s="71"/>
      <c r="E45" s="56" t="s">
        <v>16</v>
      </c>
      <c r="F45" s="57" t="s">
        <v>15</v>
      </c>
      <c r="G45" s="58" t="s">
        <v>61</v>
      </c>
      <c r="H45" s="58" t="s">
        <v>62</v>
      </c>
      <c r="I45" s="56" t="s">
        <v>41</v>
      </c>
      <c r="K45" s="32"/>
      <c r="L45" s="35"/>
      <c r="M45" s="33"/>
    </row>
    <row r="46" spans="2:13" ht="13" x14ac:dyDescent="0.3">
      <c r="B46" s="22"/>
      <c r="C46" s="23"/>
      <c r="D46" s="34"/>
      <c r="E46" s="56"/>
      <c r="F46" s="56"/>
      <c r="G46" s="56"/>
      <c r="H46" s="56"/>
      <c r="I46" s="58"/>
    </row>
    <row r="47" spans="2:13" ht="13" x14ac:dyDescent="0.3">
      <c r="B47" s="22"/>
      <c r="C47" s="23"/>
      <c r="D47" s="34"/>
      <c r="E47" s="32"/>
      <c r="F47" s="32"/>
      <c r="G47" s="32"/>
      <c r="H47" s="32"/>
      <c r="I47" s="33"/>
    </row>
    <row r="48" spans="2:13" ht="13" x14ac:dyDescent="0.3">
      <c r="B48" s="22"/>
      <c r="C48" s="23"/>
      <c r="D48" s="34"/>
      <c r="E48" s="32"/>
      <c r="F48" s="32"/>
      <c r="G48" s="32"/>
      <c r="H48" s="32"/>
      <c r="I48" s="33"/>
    </row>
    <row r="49" spans="2:9" ht="13" x14ac:dyDescent="0.25">
      <c r="B49" s="59" t="s">
        <v>45</v>
      </c>
      <c r="C49" s="60"/>
      <c r="D49" s="60"/>
      <c r="E49" s="60"/>
      <c r="F49" s="70"/>
      <c r="G49" s="70"/>
      <c r="H49" s="70"/>
      <c r="I49" s="33"/>
    </row>
    <row r="50" spans="2:9" x14ac:dyDescent="0.25">
      <c r="B50" s="14" t="s">
        <v>46</v>
      </c>
      <c r="C50" s="60"/>
      <c r="D50" s="60"/>
      <c r="E50" s="15"/>
      <c r="F50" s="65"/>
      <c r="G50" s="65"/>
      <c r="H50" s="65"/>
      <c r="I50" s="33"/>
    </row>
    <row r="51" spans="2:9" x14ac:dyDescent="0.25">
      <c r="B51" s="60" t="s">
        <v>47</v>
      </c>
      <c r="C51" s="60"/>
      <c r="D51" s="60"/>
      <c r="E51" s="15"/>
      <c r="F51" s="36"/>
      <c r="G51" s="29"/>
      <c r="H51" s="29"/>
      <c r="I51" s="33"/>
    </row>
    <row r="52" spans="2:9" x14ac:dyDescent="0.25">
      <c r="B52" s="60" t="s">
        <v>48</v>
      </c>
      <c r="C52" s="60"/>
      <c r="D52" s="60"/>
      <c r="E52" s="15"/>
      <c r="F52" s="65"/>
      <c r="G52" s="65"/>
      <c r="H52" s="65"/>
      <c r="I52" s="33"/>
    </row>
    <row r="53" spans="2:9" x14ac:dyDescent="0.25">
      <c r="B53" s="60" t="s">
        <v>49</v>
      </c>
      <c r="C53" s="60"/>
      <c r="D53" s="60"/>
      <c r="E53" s="15"/>
      <c r="F53" s="65"/>
      <c r="G53" s="65"/>
      <c r="H53" s="65"/>
      <c r="I53" s="33"/>
    </row>
    <row r="54" spans="2:9" x14ac:dyDescent="0.25">
      <c r="B54" s="60" t="s">
        <v>50</v>
      </c>
      <c r="C54" s="60"/>
      <c r="D54" s="60"/>
      <c r="E54" s="15"/>
      <c r="F54" s="65"/>
      <c r="G54" s="65"/>
      <c r="H54" s="65"/>
      <c r="I54" s="33"/>
    </row>
    <row r="55" spans="2:9" x14ac:dyDescent="0.25">
      <c r="B55" s="66" t="s">
        <v>51</v>
      </c>
      <c r="C55" s="66"/>
      <c r="D55" s="66"/>
      <c r="E55" s="15"/>
      <c r="F55" s="65"/>
      <c r="G55" s="65"/>
      <c r="H55" s="65"/>
      <c r="I55" s="33"/>
    </row>
    <row r="56" spans="2:9" x14ac:dyDescent="0.25">
      <c r="B56" s="60" t="s">
        <v>52</v>
      </c>
      <c r="C56" s="60"/>
      <c r="D56" s="60"/>
      <c r="E56" s="15"/>
      <c r="F56" s="62"/>
      <c r="G56" s="62"/>
      <c r="H56" s="62"/>
    </row>
    <row r="57" spans="2:9" x14ac:dyDescent="0.25">
      <c r="B57" s="60" t="s">
        <v>53</v>
      </c>
      <c r="C57" s="60"/>
      <c r="D57" s="60"/>
      <c r="E57" s="15"/>
      <c r="F57" s="62"/>
      <c r="G57" s="62"/>
      <c r="H57" s="62"/>
    </row>
    <row r="58" spans="2:9" x14ac:dyDescent="0.25">
      <c r="B58" s="60" t="s">
        <v>54</v>
      </c>
      <c r="C58" s="60"/>
      <c r="D58" s="60"/>
      <c r="E58" s="15"/>
      <c r="F58" s="62"/>
      <c r="G58" s="62"/>
      <c r="H58" s="62"/>
    </row>
    <row r="59" spans="2:9" x14ac:dyDescent="0.25">
      <c r="B59" s="23"/>
      <c r="C59" s="23"/>
      <c r="D59" s="23"/>
      <c r="E59" s="23"/>
      <c r="F59" s="23"/>
      <c r="G59" s="23"/>
      <c r="H59" s="23"/>
    </row>
    <row r="65" spans="2:11" ht="13" x14ac:dyDescent="0.3">
      <c r="B65" s="22"/>
      <c r="C65" s="23"/>
      <c r="D65" s="23"/>
      <c r="E65" s="25"/>
      <c r="F65" s="25"/>
      <c r="G65" s="25"/>
      <c r="H65" s="23"/>
      <c r="I65" s="63"/>
      <c r="J65" s="63"/>
    </row>
    <row r="66" spans="2:11" ht="13" x14ac:dyDescent="0.3">
      <c r="B66" s="2" t="s">
        <v>44</v>
      </c>
      <c r="C66" s="22"/>
      <c r="D66" s="22"/>
      <c r="E66" s="64" t="s">
        <v>43</v>
      </c>
      <c r="F66" s="64"/>
      <c r="G66" s="64"/>
      <c r="H66" s="25"/>
      <c r="I66" s="64" t="s">
        <v>42</v>
      </c>
      <c r="J66" s="64"/>
      <c r="K66" s="22"/>
    </row>
  </sheetData>
  <mergeCells count="32">
    <mergeCell ref="B13:C13"/>
    <mergeCell ref="B5:C5"/>
    <mergeCell ref="F49:H49"/>
    <mergeCell ref="B15:C15"/>
    <mergeCell ref="B16:C16"/>
    <mergeCell ref="B17:C17"/>
    <mergeCell ref="B18:C18"/>
    <mergeCell ref="B19:C19"/>
    <mergeCell ref="B20:C20"/>
    <mergeCell ref="B45:D45"/>
    <mergeCell ref="B21:C21"/>
    <mergeCell ref="B9:C9"/>
    <mergeCell ref="B10:C10"/>
    <mergeCell ref="B11:C11"/>
    <mergeCell ref="B14:C14"/>
    <mergeCell ref="B4:C4"/>
    <mergeCell ref="B6:C6"/>
    <mergeCell ref="B7:C7"/>
    <mergeCell ref="B8:C8"/>
    <mergeCell ref="B12:C12"/>
    <mergeCell ref="F50:H50"/>
    <mergeCell ref="F52:H52"/>
    <mergeCell ref="F53:H53"/>
    <mergeCell ref="F54:H54"/>
    <mergeCell ref="B55:D55"/>
    <mergeCell ref="F55:H55"/>
    <mergeCell ref="F56:H56"/>
    <mergeCell ref="F57:H57"/>
    <mergeCell ref="F58:H58"/>
    <mergeCell ref="I65:J65"/>
    <mergeCell ref="E66:G66"/>
    <mergeCell ref="I66:J66"/>
  </mergeCells>
  <dataValidations disablePrompts="1" count="1">
    <dataValidation type="list" allowBlank="1" showInputMessage="1" showErrorMessage="1" sqref="E50:E58" xr:uid="{F785CEE6-4CD1-4BD2-8523-B0A10CCFE25E}">
      <formula1>"Yes, No, NA"</formula1>
    </dataValidation>
  </dataValidations>
  <pageMargins left="0" right="0" top="0" bottom="0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Singh</dc:creator>
  <cp:lastModifiedBy>Akshaya Kadidal</cp:lastModifiedBy>
  <cp:lastPrinted>2024-12-20T21:55:55Z</cp:lastPrinted>
  <dcterms:created xsi:type="dcterms:W3CDTF">2020-04-29T13:02:32Z</dcterms:created>
  <dcterms:modified xsi:type="dcterms:W3CDTF">2024-12-21T02:11:52Z</dcterms:modified>
</cp:coreProperties>
</file>